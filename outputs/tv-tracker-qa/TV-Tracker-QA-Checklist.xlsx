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4fabe8090340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A Dashboard" sheetId="1" r:id="Rde4dd549377e4027"/>
    <x:sheet xmlns:r="http://schemas.openxmlformats.org/officeDocument/2006/relationships" name="Test Checklist" sheetId="2" r:id="R6d1f76561d4d407e"/>
    <x:sheet xmlns:r="http://schemas.openxmlformats.org/officeDocument/2006/relationships" name="Improvement Backlog" sheetId="3" r:id="Rb0fe163ce3dd4b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8"/>
      <x:color rgb="FFFFFFFF"/>
      <x:name val="Carlito"/>
    </x:font>
    <x:font>
      <x:sz val="11"/>
      <x:color rgb="FF0D253F"/>
      <x:name val="Carlito"/>
    </x:font>
    <x:font>
      <x:b/>
      <x:sz val="11"/>
      <x:color rgb="FFFFFFFF"/>
      <x:name val="Carlito"/>
    </x:font>
    <x:font>
      <x:b/>
      <x:sz val="22"/>
      <x:color rgb="FF0D253F"/>
      <x:name val="Carlito"/>
    </x:font>
    <x:font>
      <x:b/>
      <x:sz val="11"/>
      <x:color rgb="FF01B4E4"/>
      <x:name val="Carlito"/>
    </x:font>
    <x:font>
      <x:b/>
      <x:sz val="11"/>
      <x:color rgb="FF0D253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D253F"/>
      </x:patternFill>
    </x:fill>
    <x:fill>
      <x:patternFill patternType="solid">
        <x:fgColor rgb="FFE7F7FC"/>
      </x:patternFill>
    </x:fill>
    <x:fill>
      <x:patternFill patternType="solid">
        <x:fgColor rgb="FFF4F7F9"/>
      </x:patternFill>
    </x:fill>
    <x:fill>
      <x:patternFill patternType="solid">
        <x:fgColor rgb="FF01B4E4"/>
      </x:patternFill>
    </x:fill>
  </x:fills>
  <x:borders count="6">
    <x:border/>
    <x:border>
      <x:left style="thin">
        <x:color rgb="FFD7E0E5"/>
      </x:left>
      <x:top style="thin">
        <x:color rgb="FFD7E0E5"/>
      </x:top>
    </x:border>
    <x:border>
      <x:right style="thin">
        <x:color rgb="FFD7E0E5"/>
      </x:right>
      <x:top style="thin">
        <x:color rgb="FFD7E0E5"/>
      </x:top>
    </x:border>
    <x:border>
      <x:left style="thin">
        <x:color rgb="FFD7E0E5"/>
      </x:left>
      <x:bottom style="thin">
        <x:color rgb="FFD7E0E5"/>
      </x:bottom>
    </x:border>
    <x:border>
      <x:right style="thin">
        <x:color rgb="FFD7E0E5"/>
      </x:right>
      <x:bottom style="thin">
        <x:color rgb="FFD7E0E5"/>
      </x:bottom>
    </x:border>
    <x:border>
      <x:left style="thin">
        <x:color rgb="FFD7E0E5"/>
      </x:left>
      <x:right style="thin">
        <x:color rgb="FFD7E0E5"/>
      </x:right>
      <x:top style="thin">
        <x:color rgb="FFD7E0E5"/>
      </x:top>
      <x:bottom style="thin">
        <x:color rgb="FFD7E0E5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/>
    </x:xf>
    <x:xf numFmtId="0" fontId="4" fillId="4" borderId="4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5" xfId="0" applyNumberFormat="1" applyFont="1" applyFill="1" applyBorder="1"/>
    <x:xf numFmtId="0" fontId="3" fillId="5" borderId="5" xfId="0" applyNumberFormat="1" applyFont="1" applyFill="1" applyBorder="1" applyAlignment="1">
      <x:alignment wrapText="1"/>
    </x:xf>
    <x:xf numFmtId="0" fontId="3" fillId="5" borderId="5" xfId="0" applyNumberFormat="1" applyFont="1" applyFill="1" applyBorder="1" applyAlignment="1">
      <x:alignment horizontal="center" wrapText="1"/>
    </x:xf>
    <x:xf numFmtId="0" fontId="3" fillId="5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020b2dcec648ba" /><Relationship Type="http://schemas.openxmlformats.org/officeDocument/2006/relationships/theme" Target="/xl/theme/theme1.xml" Id="R51c88f5c58a94e44" /><Relationship Type="http://schemas.openxmlformats.org/officeDocument/2006/relationships/sharedStrings" Target="/xl/sharedStrings.xml" Id="R181945ab89c7438e" /><Relationship Type="http://schemas.openxmlformats.org/officeDocument/2006/relationships/worksheet" Target="/xl/worksheets/sheet1.xml" Id="Rde4dd549377e4027" /><Relationship Type="http://schemas.openxmlformats.org/officeDocument/2006/relationships/worksheet" Target="/xl/worksheets/sheet2.xml" Id="R6d1f76561d4d407e" /><Relationship Type="http://schemas.openxmlformats.org/officeDocument/2006/relationships/worksheet" Target="/xl/worksheets/sheet3.xml" Id="Rb0fe163ce3dd4b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30" t="str">
        <x:v>TV Tracker — Quality Check Dashboard</x:v>
      </x:c>
      <x:c r="B1" s="30" t="str">
        <x:v>TV Tracker — Quality Check Dashboard</x:v>
      </x:c>
      <x:c r="C1" s="30" t="str">
        <x:v>TV Tracker — Quality Check Dashboard</x:v>
      </x:c>
      <x:c r="D1" s="30" t="str">
        <x:v>TV Tracker — Quality Check Dashboard</x:v>
      </x:c>
      <x:c r="E1" s="30" t="str">
        <x:v>TV Tracker — Quality Check Dashboard</x:v>
      </x:c>
      <x:c r="F1" s="30" t="str">
        <x:v>TV Tracker — Quality Check Dashboard</x:v>
      </x:c>
      <x:c r="G1" s="30" t="str">
        <x:v>TV Tracker — Quality Check Dashboard</x:v>
      </x:c>
      <x:c r="H1" s="30" t="str">
        <x:v>TV Tracker — Quality Check Dashboard</x:v>
      </x:c>
    </x:row>
    <x:row r="2" ht="28" customHeight="1">
      <x:c r="A2" s="30" t="str">
        <x:v>TV Tracker — Quality Check Dashboard</x:v>
      </x:c>
      <x:c r="B2" s="30" t="str">
        <x:v>TV Tracker — Quality Check Dashboard</x:v>
      </x:c>
      <x:c r="C2" s="30" t="str">
        <x:v>TV Tracker — Quality Check Dashboard</x:v>
      </x:c>
      <x:c r="D2" s="30" t="str">
        <x:v>TV Tracker — Quality Check Dashboard</x:v>
      </x:c>
      <x:c r="E2" s="30" t="str">
        <x:v>TV Tracker — Quality Check Dashboard</x:v>
      </x:c>
      <x:c r="F2" s="30" t="str">
        <x:v>TV Tracker — Quality Check Dashboard</x:v>
      </x:c>
      <x:c r="G2" s="30" t="str">
        <x:v>TV Tracker — Quality Check Dashboard</x:v>
      </x:c>
      <x:c r="H2" s="30" t="str">
        <x:v>TV Tracker — Quality Check Dashboard</x:v>
      </x:c>
    </x:row>
    <x:row r="3" ht="32" customHeight="1">
      <x:c r="A3" s="8" t="str">
        <x:v>Use the Test Checklist while reviewing the website. Update Status and Notes; this page summarizes your progress.</x:v>
      </x:c>
      <x:c r="B3" s="8"/>
      <x:c r="C3" s="8"/>
      <x:c r="D3" s="8"/>
      <x:c r="E3" s="8"/>
      <x:c r="F3" s="8"/>
      <x:c r="G3" s="8"/>
      <x:c r="H3" s="8"/>
    </x:row>
    <x:row r="4" ht="22" customHeight="1">
      <x:c r="A4" s="31"/>
      <x:c r="B4" s="31"/>
      <x:c r="C4" s="31"/>
      <x:c r="D4" s="31"/>
      <x:c r="E4" s="31"/>
      <x:c r="F4" s="31"/>
      <x:c r="G4" s="31"/>
      <x:c r="H4" s="31"/>
    </x:row>
    <x:row r="5" ht="22" customHeight="1">
      <x:c r="A5" s="32" t="str">
        <x:v>Passed</x:v>
      </x:c>
      <x:c r="B5" s="32"/>
      <x:c r="C5" s="32" t="str">
        <x:v>Failed</x:v>
      </x:c>
      <x:c r="D5" s="32"/>
      <x:c r="E5" s="32" t="str">
        <x:v>Not tested</x:v>
      </x:c>
      <x:c r="F5" s="32"/>
      <x:c r="G5" s="32" t="str">
        <x:v>Blocked</x:v>
      </x:c>
      <x:c r="H5" s="32"/>
    </x:row>
    <x:row r="6" ht="22" customHeight="1">
      <x:c r="A6" s="33" t="n">
        <x:f>COUNTIF('Test Checklist'!$F$5:$F$34,"Pass")</x:f>
        <x:v>0</x:v>
      </x:c>
      <x:c r="B6" s="34"/>
      <x:c r="C6" s="33" t="n">
        <x:f>COUNTIF('Test Checklist'!$F$5:$F$34,"Fail")</x:f>
        <x:v>0</x:v>
      </x:c>
      <x:c r="D6" s="34"/>
      <x:c r="E6" s="33" t="n">
        <x:f>COUNTIF('Test Checklist'!$F$5:$F$34,"Not Tested")</x:f>
        <x:v>30</x:v>
      </x:c>
      <x:c r="F6" s="34"/>
      <x:c r="G6" s="33" t="n">
        <x:f>COUNTIF('Test Checklist'!$F$5:$F$34,"Blocked")</x:f>
        <x:v>0</x:v>
      </x:c>
      <x:c r="H6" s="34"/>
    </x:row>
    <x:row r="7" ht="22" customHeight="1">
      <x:c r="A7" s="35"/>
      <x:c r="B7" s="36"/>
      <x:c r="C7" s="35"/>
      <x:c r="D7" s="36"/>
      <x:c r="E7" s="35"/>
      <x:c r="F7" s="36"/>
      <x:c r="G7" s="35"/>
      <x:c r="H7" s="36"/>
    </x:row>
    <x:row r="8" ht="22" customHeight="1">
      <x:c r="A8" s="31"/>
      <x:c r="B8" s="31"/>
      <x:c r="C8" s="31"/>
      <x:c r="D8" s="31"/>
      <x:c r="E8" s="31"/>
      <x:c r="F8" s="31"/>
      <x:c r="G8" s="31"/>
      <x:c r="H8" s="31"/>
    </x:row>
    <x:row r="9" ht="22" customHeight="1">
      <x:c r="A9" s="37" t="str">
        <x:v>Review flow</x:v>
      </x:c>
      <x:c r="B9" s="37"/>
      <x:c r="C9" s="37"/>
      <x:c r="D9" s="37"/>
      <x:c r="E9" s="37"/>
      <x:c r="F9" s="37"/>
      <x:c r="G9" s="37"/>
      <x:c r="H9" s="37"/>
    </x:row>
    <x:row r="10" ht="22" customHeight="1">
      <x:c r="A10" s="38" t="str">
        <x:v>1</x:v>
      </x:c>
      <x:c r="B10" s="39" t="str">
        <x:v>Open the local site</x:v>
      </x:c>
      <x:c r="C10" s="31" t="str">
        <x:v>Start at Home and follow the test rows in order.</x:v>
      </x:c>
      <x:c r="D10" s="31" t="str"/>
      <x:c r="E10" s="31" t="str"/>
      <x:c r="F10" s="31" t="str"/>
      <x:c r="G10" s="31" t="str"/>
      <x:c r="H10" s="31" t="str"/>
    </x:row>
    <x:row r="11" ht="22" customHeight="1">
      <x:c r="A11" s="38" t="str">
        <x:v>2</x:v>
      </x:c>
      <x:c r="B11" s="39" t="str">
        <x:v>Record a result</x:v>
      </x:c>
      <x:c r="C11" s="31" t="str">
        <x:v>Choose Pass, Fail, Blocked, or Not Tested for each checklist row.</x:v>
      </x:c>
      <x:c r="D11" s="31" t="str"/>
      <x:c r="E11" s="31" t="str"/>
      <x:c r="F11" s="31" t="str"/>
      <x:c r="G11" s="31" t="str"/>
      <x:c r="H11" s="31" t="str"/>
    </x:row>
    <x:row r="12" ht="22" customHeight="1">
      <x:c r="A12" s="38" t="str">
        <x:v>3</x:v>
      </x:c>
      <x:c r="B12" s="39" t="str">
        <x:v>Describe failures</x:v>
      </x:c>
      <x:c r="C12" s="31" t="str">
        <x:v>Use Notes / Issue for what happened and Improvement Idea for the fix.</x:v>
      </x:c>
      <x:c r="D12" s="31" t="str"/>
      <x:c r="E12" s="31" t="str"/>
      <x:c r="F12" s="31" t="str"/>
      <x:c r="G12" s="31" t="str"/>
      <x:c r="H12" s="31" t="str"/>
    </x:row>
    <x:row r="13" ht="22" customHeight="1">
      <x:c r="A13" s="38" t="str">
        <x:v>4</x:v>
      </x:c>
      <x:c r="B13" s="39" t="str">
        <x:v>Prioritize</x:v>
      </x:c>
      <x:c r="C13" s="31" t="str">
        <x:v>Start with High-priority failures before visual polish or new features.</x:v>
      </x:c>
      <x:c r="D13" s="31" t="str"/>
      <x:c r="E13" s="31" t="str"/>
      <x:c r="F13" s="31" t="str"/>
      <x:c r="G13" s="31" t="str"/>
      <x:c r="H13" s="31" t="str"/>
    </x:row>
    <x:row r="14" ht="22" customHeight="1">
      <x:c r="A14" s="38" t="str">
        <x:v>5</x:v>
      </x:c>
      <x:c r="B14" s="39" t="str">
        <x:v>Retest</x:v>
      </x:c>
      <x:c r="C14" s="31" t="str">
        <x:v>After a fix, set the status to Pass and add the retest date.</x:v>
      </x:c>
      <x:c r="D14" s="31" t="str"/>
      <x:c r="E14" s="31" t="str"/>
      <x:c r="F14" s="31" t="str"/>
      <x:c r="G14" s="31" t="str"/>
      <x:c r="H14" s="31" t="str"/>
    </x:row>
  </x:sheetData>
  <x:mergeCells>
    <x:mergeCell ref="A1:H2"/>
    <x:mergeCell ref="A3:H3"/>
    <x:mergeCell ref="A5:B5"/>
    <x:mergeCell ref="C5:D5"/>
    <x:mergeCell ref="E5:F5"/>
    <x:mergeCell ref="G5:H5"/>
    <x:mergeCell ref="A6:B7"/>
    <x:mergeCell ref="C6:D7"/>
    <x:mergeCell ref="E6:F7"/>
    <x:mergeCell ref="G6:H7"/>
    <x:mergeCell ref="A9:H9"/>
    <x:mergeCell ref="C10:H10"/>
    <x:mergeCell ref="C11:H11"/>
    <x:mergeCell ref="C12:H12"/>
    <x:mergeCell ref="C13:H13"/>
    <x:mergeCell ref="C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26" hidden="0" customWidth="1"/>
    <x:col min="4" max="4" width="32" hidden="0" customWidth="1"/>
    <x:col min="5" max="5" width="32" hidden="0" customWidth="1"/>
    <x:col min="6" max="6" width="14" hidden="0" customWidth="1"/>
    <x:col min="7" max="7" width="11" hidden="0" customWidth="1"/>
    <x:col min="8" max="8" width="28" hidden="0" customWidth="1"/>
    <x:col min="9" max="9" width="28" hidden="0" customWidth="1"/>
    <x:col min="10" max="10" width="14" hidden="0" customWidth="1"/>
  </x:cols>
  <x:sheetData>
    <x:row r="1" ht="28" customHeight="1">
      <x:c r="A1" s="4" t="str">
        <x:v>TV Tracker — Website Testing Checklist</x:v>
      </x:c>
      <x:c r="B1" s="4" t="str">
        <x:v>TV Tracker — Website Testing Checklist</x:v>
      </x:c>
      <x:c r="C1" s="4" t="str">
        <x:v>TV Tracker — Website Testing Checklist</x:v>
      </x:c>
      <x:c r="D1" s="4" t="str">
        <x:v>TV Tracker — Website Testing Checklist</x:v>
      </x:c>
      <x:c r="E1" s="4" t="str">
        <x:v>TV Tracker — Website Testing Checklist</x:v>
      </x:c>
      <x:c r="F1" s="4" t="str">
        <x:v>TV Tracker — Website Testing Checklist</x:v>
      </x:c>
      <x:c r="G1" s="4" t="str">
        <x:v>TV Tracker — Website Testing Checklist</x:v>
      </x:c>
      <x:c r="H1" s="4" t="str">
        <x:v>TV Tracker — Website Testing Checklist</x:v>
      </x:c>
      <x:c r="I1" s="4" t="str">
        <x:v>TV Tracker — Website Testing Checklist</x:v>
      </x:c>
      <x:c r="J1" s="4" t="str">
        <x:v>TV Tracker — Website Testing Checklist</x:v>
      </x:c>
    </x:row>
    <x:row r="2" ht="28" customHeight="1">
      <x:c r="A2" s="4" t="str">
        <x:v>TV Tracker — Website Testing Checklist</x:v>
      </x:c>
      <x:c r="B2" s="4" t="str">
        <x:v>TV Tracker — Website Testing Checklist</x:v>
      </x:c>
      <x:c r="C2" s="4" t="str">
        <x:v>TV Tracker — Website Testing Checklist</x:v>
      </x:c>
      <x:c r="D2" s="4" t="str">
        <x:v>TV Tracker — Website Testing Checklist</x:v>
      </x:c>
      <x:c r="E2" s="4" t="str">
        <x:v>TV Tracker — Website Testing Checklist</x:v>
      </x:c>
      <x:c r="F2" s="4" t="str">
        <x:v>TV Tracker — Website Testing Checklist</x:v>
      </x:c>
      <x:c r="G2" s="4" t="str">
        <x:v>TV Tracker — Website Testing Checklist</x:v>
      </x:c>
      <x:c r="H2" s="4" t="str">
        <x:v>TV Tracker — Website Testing Checklist</x:v>
      </x:c>
      <x:c r="I2" s="4" t="str">
        <x:v>TV Tracker — Website Testing Checklist</x:v>
      </x:c>
      <x:c r="J2" s="4" t="str">
        <x:v>TV Tracker — Website Testing Checklist</x:v>
      </x:c>
    </x:row>
    <x:row r="3" ht="30" customHeight="1">
      <x:c r="A3" s="7" t="str">
        <x:v>Test on desktop and phone. Set Status as you go; use Notes / Issue to record anything that needs fixing.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4" ht="32" customHeight="1">
      <x:c r="A4" s="45" t="str">
        <x:v>ID</x:v>
      </x:c>
      <x:c r="B4" s="45" t="str">
        <x:v>Area</x:v>
      </x:c>
      <x:c r="C4" s="45" t="str">
        <x:v>What to check</x:v>
      </x:c>
      <x:c r="D4" s="45" t="str">
        <x:v>How to test</x:v>
      </x:c>
      <x:c r="E4" s="45" t="str">
        <x:v>Expected result</x:v>
      </x:c>
      <x:c r="F4" s="45" t="str">
        <x:v>Status</x:v>
      </x:c>
      <x:c r="G4" s="45" t="str">
        <x:v>Priority</x:v>
      </x:c>
      <x:c r="H4" s="45" t="str">
        <x:v>Notes / Issue</x:v>
      </x:c>
      <x:c r="I4" s="45" t="str">
        <x:v>Improvement idea</x:v>
      </x:c>
      <x:c r="J4" s="45" t="str">
        <x:v>Retest date</x:v>
      </x:c>
    </x:row>
    <x:row r="5" ht="64" customHeight="1">
      <x:c r="A5" s="46" t="str">
        <x:v>T-01</x:v>
      </x:c>
      <x:c r="B5" s="46" t="str">
        <x:v>Navigation</x:v>
      </x:c>
      <x:c r="C5" s="46" t="str">
        <x:v>Landing page entry</x:v>
      </x:c>
      <x:c r="D5" s="46" t="str">
        <x:v>Open the website at / and select the main call to action.</x:v>
      </x:c>
      <x:c r="E5" s="46" t="str">
        <x:v>It opens the dashboard without errors.</x:v>
      </x:c>
      <x:c r="F5" s="46" t="str">
        <x:v>Not Tested</x:v>
      </x:c>
      <x:c r="G5" s="46" t="str">
        <x:v>High</x:v>
      </x:c>
      <x:c r="H5" s="46" t="str"/>
      <x:c r="I5" s="46" t="str"/>
      <x:c r="J5" s="47" t="str"/>
    </x:row>
    <x:row r="6" ht="64" customHeight="1">
      <x:c r="A6" s="46" t="str">
        <x:v>T-02</x:v>
      </x:c>
      <x:c r="B6" s="46" t="str">
        <x:v>Navigation</x:v>
      </x:c>
      <x:c r="C6" s="46" t="str">
        <x:v>Sidebar links</x:v>
      </x:c>
      <x:c r="D6" s="46" t="str">
        <x:v>Open every visible sidebar item.</x:v>
      </x:c>
      <x:c r="E6" s="46" t="str">
        <x:v>Every visible item opens a working page; no placeholder page appears.</x:v>
      </x:c>
      <x:c r="F6" s="46" t="str">
        <x:v>Not Tested</x:v>
      </x:c>
      <x:c r="G6" s="46" t="str">
        <x:v>High</x:v>
      </x:c>
      <x:c r="H6" s="46" t="str"/>
      <x:c r="I6" s="46" t="str"/>
      <x:c r="J6" s="47" t="str"/>
    </x:row>
    <x:row r="7" ht="64" customHeight="1">
      <x:c r="A7" s="46" t="str">
        <x:v>T-03</x:v>
      </x:c>
      <x:c r="B7" s="46" t="str">
        <x:v>Dashboard</x:v>
      </x:c>
      <x:c r="C7" s="46" t="str">
        <x:v>Live statistics</x:v>
      </x:c>
      <x:c r="D7" s="46" t="str">
        <x:v>Mark a title and an episode as watched; return Home.</x:v>
      </x:c>
      <x:c r="E7" s="46" t="str">
        <x:v>Watched titles, episodes, favorites, and estimated hours update.</x:v>
      </x:c>
      <x:c r="F7" s="46" t="str">
        <x:v>Not Tested</x:v>
      </x:c>
      <x:c r="G7" s="46" t="str">
        <x:v>High</x:v>
      </x:c>
      <x:c r="H7" s="46" t="str"/>
      <x:c r="I7" s="46" t="str"/>
      <x:c r="J7" s="47" t="str"/>
    </x:row>
    <x:row r="8" ht="64" customHeight="1">
      <x:c r="A8" s="46" t="str">
        <x:v>T-04</x:v>
      </x:c>
      <x:c r="B8" s="46" t="str">
        <x:v>Dashboard</x:v>
      </x:c>
      <x:c r="C8" s="46" t="str">
        <x:v>Continue Watching</x:v>
      </x:c>
      <x:c r="D8" s="46" t="str">
        <x:v>Mark one or more episodes watched.</x:v>
      </x:c>
      <x:c r="E8" s="46" t="str">
        <x:v>Recent items appear with correct title and season/episode detail.</x:v>
      </x:c>
      <x:c r="F8" s="46" t="str">
        <x:v>Not Tested</x:v>
      </x:c>
      <x:c r="G8" s="46" t="str">
        <x:v>High</x:v>
      </x:c>
      <x:c r="H8" s="46" t="str"/>
      <x:c r="I8" s="46" t="str"/>
      <x:c r="J8" s="47" t="str"/>
    </x:row>
    <x:row r="9" ht="64" customHeight="1">
      <x:c r="A9" s="46" t="str">
        <x:v>T-05</x:v>
      </x:c>
      <x:c r="B9" s="46" t="str">
        <x:v>TMDB / Offline</x:v>
      </x:c>
      <x:c r="C9" s="46" t="str">
        <x:v>No-key experience</x:v>
      </x:c>
      <x:c r="D9" s="46" t="str">
        <x:v>Remove the local TMDB key in Settings and browse the app.</x:v>
      </x:c>
      <x:c r="E9" s="46" t="str">
        <x:v>Fallback titles and their detail pages still work.</x:v>
      </x:c>
      <x:c r="F9" s="46" t="str">
        <x:v>Not Tested</x:v>
      </x:c>
      <x:c r="G9" s="46" t="str">
        <x:v>High</x:v>
      </x:c>
      <x:c r="H9" s="46" t="str"/>
      <x:c r="I9" s="46" t="str"/>
      <x:c r="J9" s="47" t="str"/>
    </x:row>
    <x:row r="10" ht="64" customHeight="1">
      <x:c r="A10" s="46" t="str">
        <x:v>T-06</x:v>
      </x:c>
      <x:c r="B10" s="46" t="str">
        <x:v>TMDB</x:v>
      </x:c>
      <x:c r="C10" s="46" t="str">
        <x:v>API connection</x:v>
      </x:c>
      <x:c r="D10" s="46" t="str">
        <x:v>Connect a valid TMDB key in Settings.</x:v>
      </x:c>
      <x:c r="E10" s="46" t="str">
        <x:v>The app confirms the connection and shows live content.</x:v>
      </x:c>
      <x:c r="F10" s="46" t="str">
        <x:v>Not Tested</x:v>
      </x:c>
      <x:c r="G10" s="46" t="str">
        <x:v>High</x:v>
      </x:c>
      <x:c r="H10" s="46" t="str"/>
      <x:c r="I10" s="46" t="str"/>
      <x:c r="J10" s="47" t="str"/>
    </x:row>
    <x:row r="11" ht="64" customHeight="1">
      <x:c r="A11" s="46" t="str">
        <x:v>T-07</x:v>
      </x:c>
      <x:c r="B11" s="46" t="str">
        <x:v>Search</x:v>
      </x:c>
      <x:c r="C11" s="46" t="str">
        <x:v>Search results</x:v>
      </x:c>
      <x:c r="D11" s="46" t="str">
        <x:v>Search for a movie and a TV show from the top bar.</x:v>
      </x:c>
      <x:c r="E11" s="46" t="str">
        <x:v>Relevant results appear and open the selected title page.</x:v>
      </x:c>
      <x:c r="F11" s="46" t="str">
        <x:v>Not Tested</x:v>
      </x:c>
      <x:c r="G11" s="46" t="str">
        <x:v>High</x:v>
      </x:c>
      <x:c r="H11" s="46" t="str"/>
      <x:c r="I11" s="46" t="str"/>
      <x:c r="J11" s="47" t="str"/>
    </x:row>
    <x:row r="12" ht="64" customHeight="1">
      <x:c r="A12" s="46" t="str">
        <x:v>T-08</x:v>
      </x:c>
      <x:c r="B12" s="46" t="str">
        <x:v>Categories</x:v>
      </x:c>
      <x:c r="C12" s="46" t="str">
        <x:v>Movie, TV, K-drama, Anime pages</x:v>
      </x:c>
      <x:c r="D12" s="46" t="str">
        <x:v>Open each category page.</x:v>
      </x:c>
      <x:c r="E12" s="46" t="str">
        <x:v>Each list loads and title cards are clickable.</x:v>
      </x:c>
      <x:c r="F12" s="46" t="str">
        <x:v>Not Tested</x:v>
      </x:c>
      <x:c r="G12" s="46" t="str">
        <x:v>Medium</x:v>
      </x:c>
      <x:c r="H12" s="46" t="str"/>
      <x:c r="I12" s="46" t="str"/>
      <x:c r="J12" s="47" t="str"/>
    </x:row>
    <x:row r="13" ht="64" customHeight="1">
      <x:c r="A13" s="46" t="str">
        <x:v>T-09</x:v>
      </x:c>
      <x:c r="B13" s="46" t="str">
        <x:v>Title page</x:v>
      </x:c>
      <x:c r="C13" s="46" t="str">
        <x:v>Title details</x:v>
      </x:c>
      <x:c r="D13" s="46" t="str">
        <x:v>Open a movie and a TV show.</x:v>
      </x:c>
      <x:c r="E13" s="46" t="str">
        <x:v>Title, metadata, synopsis, rating controls, and images display cleanly.</x:v>
      </x:c>
      <x:c r="F13" s="46" t="str">
        <x:v>Not Tested</x:v>
      </x:c>
      <x:c r="G13" s="46" t="str">
        <x:v>High</x:v>
      </x:c>
      <x:c r="H13" s="46" t="str"/>
      <x:c r="I13" s="46" t="str"/>
      <x:c r="J13" s="47" t="str"/>
    </x:row>
    <x:row r="14" ht="64" customHeight="1">
      <x:c r="A14" s="46" t="str">
        <x:v>T-10</x:v>
      </x:c>
      <x:c r="B14" s="46" t="str">
        <x:v>Title page</x:v>
      </x:c>
      <x:c r="C14" s="46" t="str">
        <x:v>Trailer modal</x:v>
      </x:c>
      <x:c r="D14" s="46" t="str">
        <x:v>Open Watch Trailer, then close it.</x:v>
      </x:c>
      <x:c r="E14" s="46" t="str">
        <x:v>The modal opens when a trailer exists and the page remains usable after closing.</x:v>
      </x:c>
      <x:c r="F14" s="46" t="str">
        <x:v>Not Tested</x:v>
      </x:c>
      <x:c r="G14" s="46" t="str">
        <x:v>Medium</x:v>
      </x:c>
      <x:c r="H14" s="46" t="str"/>
      <x:c r="I14" s="46" t="str"/>
      <x:c r="J14" s="47" t="str"/>
    </x:row>
    <x:row r="15" ht="64" customHeight="1">
      <x:c r="A15" s="46" t="str">
        <x:v>T-11</x:v>
      </x:c>
      <x:c r="B15" s="46" t="str">
        <x:v>Tracking</x:v>
      </x:c>
      <x:c r="C15" s="46" t="str">
        <x:v>Mark title watched</x:v>
      </x:c>
      <x:c r="D15" s="46" t="str">
        <x:v>Toggle Mark Watched twice.</x:v>
      </x:c>
      <x:c r="E15" s="46" t="str">
        <x:v>State changes correctly and the title appears/disappears from history.</x:v>
      </x:c>
      <x:c r="F15" s="46" t="str">
        <x:v>Not Tested</x:v>
      </x:c>
      <x:c r="G15" s="46" t="str">
        <x:v>High</x:v>
      </x:c>
      <x:c r="H15" s="46" t="str"/>
      <x:c r="I15" s="46" t="str"/>
      <x:c r="J15" s="47" t="str"/>
    </x:row>
    <x:row r="16" ht="64" customHeight="1">
      <x:c r="A16" s="46" t="str">
        <x:v>T-12</x:v>
      </x:c>
      <x:c r="B16" s="46" t="str">
        <x:v>Tracking</x:v>
      </x:c>
      <x:c r="C16" s="46" t="str">
        <x:v>Episode progress</x:v>
      </x:c>
      <x:c r="D16" s="46" t="str">
        <x:v>Toggle two episodes watched, refresh, then untoggle one.</x:v>
      </x:c>
      <x:c r="E16" s="46" t="str">
        <x:v>Episode state survives refresh and dashboard progress is correct.</x:v>
      </x:c>
      <x:c r="F16" s="46" t="str">
        <x:v>Not Tested</x:v>
      </x:c>
      <x:c r="G16" s="46" t="str">
        <x:v>High</x:v>
      </x:c>
      <x:c r="H16" s="46" t="str"/>
      <x:c r="I16" s="46" t="str"/>
      <x:c r="J16" s="47" t="str"/>
    </x:row>
    <x:row r="17" ht="64" customHeight="1">
      <x:c r="A17" s="46" t="str">
        <x:v>T-13</x:v>
      </x:c>
      <x:c r="B17" s="46" t="str">
        <x:v>Favorites</x:v>
      </x:c>
      <x:c r="C17" s="46" t="str">
        <x:v>Add and remove favorites</x:v>
      </x:c>
      <x:c r="D17" s="46" t="str">
        <x:v>Favorite a title; open Favorites; remove it.</x:v>
      </x:c>
      <x:c r="E17" s="46" t="str">
        <x:v>The list updates immediately and after refresh.</x:v>
      </x:c>
      <x:c r="F17" s="46" t="str">
        <x:v>Not Tested</x:v>
      </x:c>
      <x:c r="G17" s="46" t="str">
        <x:v>High</x:v>
      </x:c>
      <x:c r="H17" s="46" t="str"/>
      <x:c r="I17" s="46" t="str"/>
      <x:c r="J17" s="47" t="str"/>
    </x:row>
    <x:row r="18" ht="64" customHeight="1">
      <x:c r="A18" s="46" t="str">
        <x:v>T-14</x:v>
      </x:c>
      <x:c r="B18" s="46" t="str">
        <x:v>Ratings</x:v>
      </x:c>
      <x:c r="C18" s="46" t="str">
        <x:v>Save title rating</x:v>
      </x:c>
      <x:c r="D18" s="46" t="str">
        <x:v>Rate a title, refresh, then revisit it.</x:v>
      </x:c>
      <x:c r="E18" s="46" t="str">
        <x:v>Your score is retained and shown on the title page.</x:v>
      </x:c>
      <x:c r="F18" s="46" t="str">
        <x:v>Not Tested</x:v>
      </x:c>
      <x:c r="G18" s="46" t="str">
        <x:v>High</x:v>
      </x:c>
      <x:c r="H18" s="46" t="str"/>
      <x:c r="I18" s="46" t="str"/>
      <x:c r="J18" s="47" t="str"/>
    </x:row>
    <x:row r="19" ht="64" customHeight="1">
      <x:c r="A19" s="46" t="str">
        <x:v>T-15</x:v>
      </x:c>
      <x:c r="B19" s="46" t="str">
        <x:v>Reviews</x:v>
      </x:c>
      <x:c r="C19" s="46" t="str">
        <x:v>Save personal review</x:v>
      </x:c>
      <x:c r="D19" s="46" t="str">
        <x:v>Post a review with a score; refresh.</x:v>
      </x:c>
      <x:c r="E19" s="46" t="str">
        <x:v>Review text, score, and date remain visible.</x:v>
      </x:c>
      <x:c r="F19" s="46" t="str">
        <x:v>Not Tested</x:v>
      </x:c>
      <x:c r="G19" s="46" t="str">
        <x:v>High</x:v>
      </x:c>
      <x:c r="H19" s="46" t="str"/>
      <x:c r="I19" s="46" t="str"/>
      <x:c r="J19" s="47" t="str"/>
    </x:row>
    <x:row r="20" ht="64" customHeight="1">
      <x:c r="A20" s="46" t="str">
        <x:v>T-16</x:v>
      </x:c>
      <x:c r="B20" s="46" t="str">
        <x:v>Ratings library</x:v>
      </x:c>
      <x:c r="C20" s="46" t="str">
        <x:v>Ratings &amp; Reviews page</x:v>
      </x:c>
      <x:c r="D20" s="46" t="str">
        <x:v>Open Ratings from the sidebar.</x:v>
      </x:c>
      <x:c r="E20" s="46" t="str">
        <x:v>Rated/reviewed titles show correct scores, counts, and links.</x:v>
      </x:c>
      <x:c r="F20" s="46" t="str">
        <x:v>Not Tested</x:v>
      </x:c>
      <x:c r="G20" s="46" t="str">
        <x:v>High</x:v>
      </x:c>
      <x:c r="H20" s="46" t="str"/>
      <x:c r="I20" s="46" t="str"/>
      <x:c r="J20" s="47" t="str"/>
    </x:row>
    <x:row r="21" ht="64" customHeight="1">
      <x:c r="A21" s="46" t="str">
        <x:v>T-17</x:v>
      </x:c>
      <x:c r="B21" s="46" t="str">
        <x:v>History</x:v>
      </x:c>
      <x:c r="C21" s="46" t="str">
        <x:v>Watch History page</x:v>
      </x:c>
      <x:c r="D21" s="46" t="str">
        <x:v>Open View History from the dashboard.</x:v>
      </x:c>
      <x:c r="E21" s="46" t="str">
        <x:v>Items are newest first and open their title page.</x:v>
      </x:c>
      <x:c r="F21" s="46" t="str">
        <x:v>Not Tested</x:v>
      </x:c>
      <x:c r="G21" s="46" t="str">
        <x:v>High</x:v>
      </x:c>
      <x:c r="H21" s="46" t="str"/>
      <x:c r="I21" s="46" t="str"/>
      <x:c r="J21" s="47" t="str"/>
    </x:row>
    <x:row r="22" ht="64" customHeight="1">
      <x:c r="A22" s="46" t="str">
        <x:v>T-18</x:v>
      </x:c>
      <x:c r="B22" s="46" t="str">
        <x:v>Collections</x:v>
      </x:c>
      <x:c r="C22" s="46" t="str">
        <x:v>Create and edit collection</x:v>
      </x:c>
      <x:c r="D22" s="46" t="str">
        <x:v>Create a list, change its name/privacy, refresh.</x:v>
      </x:c>
      <x:c r="E22" s="46" t="str">
        <x:v>Changes are saved and visible after refresh.</x:v>
      </x:c>
      <x:c r="F22" s="46" t="str">
        <x:v>Not Tested</x:v>
      </x:c>
      <x:c r="G22" s="46" t="str">
        <x:v>High</x:v>
      </x:c>
      <x:c r="H22" s="46" t="str"/>
      <x:c r="I22" s="46" t="str"/>
      <x:c r="J22" s="47" t="str"/>
    </x:row>
    <x:row r="23" ht="64" customHeight="1">
      <x:c r="A23" s="46" t="str">
        <x:v>T-19</x:v>
      </x:c>
      <x:c r="B23" s="46" t="str">
        <x:v>Collections</x:v>
      </x:c>
      <x:c r="C23" s="46" t="str">
        <x:v>Add item from title page</x:v>
      </x:c>
      <x:c r="D23" s="46" t="str">
        <x:v>Use Add to List on a title page.</x:v>
      </x:c>
      <x:c r="E23" s="46" t="str">
        <x:v>Correct title, year, type, and poster are added to the chosen list.</x:v>
      </x:c>
      <x:c r="F23" s="46" t="str">
        <x:v>Not Tested</x:v>
      </x:c>
      <x:c r="G23" s="46" t="str">
        <x:v>High</x:v>
      </x:c>
      <x:c r="H23" s="46" t="str"/>
      <x:c r="I23" s="46" t="str"/>
      <x:c r="J23" s="47" t="str"/>
    </x:row>
    <x:row r="24" ht="64" customHeight="1">
      <x:c r="A24" s="46" t="str">
        <x:v>T-20</x:v>
      </x:c>
      <x:c r="B24" s="46" t="str">
        <x:v>Collections</x:v>
      </x:c>
      <x:c r="C24" s="46" t="str">
        <x:v>Add/remove manual item</x:v>
      </x:c>
      <x:c r="D24" s="46" t="str">
        <x:v>Add an item manually, then remove it.</x:v>
      </x:c>
      <x:c r="E24" s="46" t="str">
        <x:v>The list updates immediately and remains correct after refresh.</x:v>
      </x:c>
      <x:c r="F24" s="46" t="str">
        <x:v>Not Tested</x:v>
      </x:c>
      <x:c r="G24" s="46" t="str">
        <x:v>Medium</x:v>
      </x:c>
      <x:c r="H24" s="46" t="str"/>
      <x:c r="I24" s="46" t="str"/>
      <x:c r="J24" s="47" t="str"/>
    </x:row>
    <x:row r="25" ht="64" customHeight="1">
      <x:c r="A25" s="46" t="str">
        <x:v>T-21</x:v>
      </x:c>
      <x:c r="B25" s="46" t="str">
        <x:v>Settings</x:v>
      </x:c>
      <x:c r="C25" s="46" t="str">
        <x:v>Profile name</x:v>
      </x:c>
      <x:c r="D25" s="46" t="str">
        <x:v>Change display name and save.</x:v>
      </x:c>
      <x:c r="E25" s="46" t="str">
        <x:v>Dashboard greeting and new review name use the saved name.</x:v>
      </x:c>
      <x:c r="F25" s="46" t="str">
        <x:v>Not Tested</x:v>
      </x:c>
      <x:c r="G25" s="46" t="str">
        <x:v>Medium</x:v>
      </x:c>
      <x:c r="H25" s="46" t="str"/>
      <x:c r="I25" s="46" t="str"/>
      <x:c r="J25" s="47" t="str"/>
    </x:row>
    <x:row r="26" ht="64" customHeight="1">
      <x:c r="A26" s="46" t="str">
        <x:v>T-22</x:v>
      </x:c>
      <x:c r="B26" s="46" t="str">
        <x:v>Settings</x:v>
      </x:c>
      <x:c r="C26" s="46" t="str">
        <x:v>Theme</x:v>
      </x:c>
      <x:c r="D26" s="46" t="str">
        <x:v>Switch Light/Dark and refresh.</x:v>
      </x:c>
      <x:c r="E26" s="46" t="str">
        <x:v>The chosen theme remains active and text stays readable.</x:v>
      </x:c>
      <x:c r="F26" s="46" t="str">
        <x:v>Not Tested</x:v>
      </x:c>
      <x:c r="G26" s="46" t="str">
        <x:v>High</x:v>
      </x:c>
      <x:c r="H26" s="46" t="str"/>
      <x:c r="I26" s="46" t="str"/>
      <x:c r="J26" s="47" t="str"/>
    </x:row>
    <x:row r="27" ht="64" customHeight="1">
      <x:c r="A27" s="46" t="str">
        <x:v>T-23</x:v>
      </x:c>
      <x:c r="B27" s="46" t="str">
        <x:v>Settings</x:v>
      </x:c>
      <x:c r="C27" s="46" t="str">
        <x:v>Clear local data</x:v>
      </x:c>
      <x:c r="D27" s="46" t="str">
        <x:v>Use Clear local data only after testing other rows.</x:v>
      </x:c>
      <x:c r="E27" s="46" t="str">
        <x:v>Confirmation appears; app data clears and the app still works.</x:v>
      </x:c>
      <x:c r="F27" s="46" t="str">
        <x:v>Not Tested</x:v>
      </x:c>
      <x:c r="G27" s="46" t="str">
        <x:v>High</x:v>
      </x:c>
      <x:c r="H27" s="46" t="str"/>
      <x:c r="I27" s="46" t="str"/>
      <x:c r="J27" s="47" t="str"/>
    </x:row>
    <x:row r="28" ht="64" customHeight="1">
      <x:c r="A28" s="46" t="str">
        <x:v>T-24</x:v>
      </x:c>
      <x:c r="B28" s="46" t="str">
        <x:v>Mobile</x:v>
      </x:c>
      <x:c r="C28" s="46" t="str">
        <x:v>Sidebar and top bar</x:v>
      </x:c>
      <x:c r="D28" s="46" t="str">
        <x:v>Test at 375 px width or on a phone.</x:v>
      </x:c>
      <x:c r="E28" s="46" t="str">
        <x:v>Navigation is usable, no overlap occurs, and controls can be tapped.</x:v>
      </x:c>
      <x:c r="F28" s="46" t="str">
        <x:v>Not Tested</x:v>
      </x:c>
      <x:c r="G28" s="46" t="str">
        <x:v>High</x:v>
      </x:c>
      <x:c r="H28" s="46" t="str"/>
      <x:c r="I28" s="46" t="str"/>
      <x:c r="J28" s="47" t="str"/>
    </x:row>
    <x:row r="29" ht="64" customHeight="1">
      <x:c r="A29" s="46" t="str">
        <x:v>T-25</x:v>
      </x:c>
      <x:c r="B29" s="46" t="str">
        <x:v>Mobile</x:v>
      </x:c>
      <x:c r="C29" s="46" t="str">
        <x:v>Title page layout</x:v>
      </x:c>
      <x:c r="D29" s="46" t="str">
        <x:v>Open a title page on a phone-sized screen.</x:v>
      </x:c>
      <x:c r="E29" s="46" t="str">
        <x:v>Poster, action buttons, season list, and review area fit without clipping.</x:v>
      </x:c>
      <x:c r="F29" s="46" t="str">
        <x:v>Not Tested</x:v>
      </x:c>
      <x:c r="G29" s="46" t="str">
        <x:v>High</x:v>
      </x:c>
      <x:c r="H29" s="46" t="str"/>
      <x:c r="I29" s="46" t="str"/>
      <x:c r="J29" s="47" t="str"/>
    </x:row>
    <x:row r="30" ht="64" customHeight="1">
      <x:c r="A30" s="46" t="str">
        <x:v>T-26</x:v>
      </x:c>
      <x:c r="B30" s="46" t="str">
        <x:v>Accessibility</x:v>
      </x:c>
      <x:c r="C30" s="46" t="str">
        <x:v>Keyboard use</x:v>
      </x:c>
      <x:c r="D30" s="46" t="str">
        <x:v>Use Tab / Enter through top navigation and title actions.</x:v>
      </x:c>
      <x:c r="E30" s="46" t="str">
        <x:v>Visible focus, logical order, and all important actions can be reached.</x:v>
      </x:c>
      <x:c r="F30" s="46" t="str">
        <x:v>Not Tested</x:v>
      </x:c>
      <x:c r="G30" s="46" t="str">
        <x:v>Medium</x:v>
      </x:c>
      <x:c r="H30" s="46" t="str"/>
      <x:c r="I30" s="46" t="str"/>
      <x:c r="J30" s="47" t="str"/>
    </x:row>
    <x:row r="31" ht="64" customHeight="1">
      <x:c r="A31" s="46" t="str">
        <x:v>T-27</x:v>
      </x:c>
      <x:c r="B31" s="46" t="str">
        <x:v>Accessibility</x:v>
      </x:c>
      <x:c r="C31" s="46" t="str">
        <x:v>Images and contrast</x:v>
      </x:c>
      <x:c r="D31" s="46" t="str">
        <x:v>Review images, labels, and dark mode.</x:v>
      </x:c>
      <x:c r="E31" s="46" t="str">
        <x:v>Images have useful alt text and text remains readable.</x:v>
      </x:c>
      <x:c r="F31" s="46" t="str">
        <x:v>Not Tested</x:v>
      </x:c>
      <x:c r="G31" s="46" t="str">
        <x:v>Medium</x:v>
      </x:c>
      <x:c r="H31" s="46" t="str"/>
      <x:c r="I31" s="46" t="str"/>
      <x:c r="J31" s="47" t="str"/>
    </x:row>
    <x:row r="32" ht="64" customHeight="1">
      <x:c r="A32" s="46" t="str">
        <x:v>T-28</x:v>
      </x:c>
      <x:c r="B32" s="46" t="str">
        <x:v>Reliability</x:v>
      </x:c>
      <x:c r="C32" s="46" t="str">
        <x:v>Invalid/missing content</x:v>
      </x:c>
      <x:c r="D32" s="46" t="str">
        <x:v>Open a bad title URL and disconnect the API.</x:v>
      </x:c>
      <x:c r="E32" s="46" t="str">
        <x:v>A clear recovery message and a way back are shown.</x:v>
      </x:c>
      <x:c r="F32" s="46" t="str">
        <x:v>Not Tested</x:v>
      </x:c>
      <x:c r="G32" s="46" t="str">
        <x:v>Medium</x:v>
      </x:c>
      <x:c r="H32" s="46" t="str"/>
      <x:c r="I32" s="46" t="str"/>
      <x:c r="J32" s="47" t="str"/>
    </x:row>
    <x:row r="33" ht="64" customHeight="1">
      <x:c r="A33" s="46" t="str">
        <x:v>T-29</x:v>
      </x:c>
      <x:c r="B33" s="46" t="str">
        <x:v>Performance</x:v>
      </x:c>
      <x:c r="C33" s="46" t="str">
        <x:v>Initial load and scrolling</x:v>
      </x:c>
      <x:c r="D33" s="46" t="str">
        <x:v>Reload on normal and slow network; scroll long pages.</x:v>
      </x:c>
      <x:c r="E33" s="46" t="str">
        <x:v>No major delays, broken images, or noticeable interface freezes.</x:v>
      </x:c>
      <x:c r="F33" s="46" t="str">
        <x:v>Not Tested</x:v>
      </x:c>
      <x:c r="G33" s="46" t="str">
        <x:v>Medium</x:v>
      </x:c>
      <x:c r="H33" s="46" t="str"/>
      <x:c r="I33" s="46" t="str"/>
      <x:c r="J33" s="47" t="str"/>
    </x:row>
    <x:row r="34" ht="64" customHeight="1">
      <x:c r="A34" s="46" t="str">
        <x:v>T-30</x:v>
      </x:c>
      <x:c r="B34" s="46" t="str">
        <x:v>Release</x:v>
      </x:c>
      <x:c r="C34" s="46" t="str">
        <x:v>Production build</x:v>
      </x:c>
      <x:c r="D34" s="46" t="str">
        <x:v>Run npm run build before deployment.</x:v>
      </x:c>
      <x:c r="E34" s="46" t="str">
        <x:v>Build finishes with no errors or lint warnings.</x:v>
      </x:c>
      <x:c r="F34" s="46" t="str">
        <x:v>Not Tested</x:v>
      </x:c>
      <x:c r="G34" s="46" t="str">
        <x:v>High</x:v>
      </x:c>
      <x:c r="H34" s="46" t="str"/>
      <x:c r="I34" s="46" t="str"/>
      <x:c r="J34" s="47" t="str"/>
    </x:row>
  </x:sheetData>
  <x:mergeCells>
    <x:mergeCell ref="A1:J2"/>
    <x:mergeCell ref="A3:J3"/>
  </x:mergeCells>
  <x:conditionalFormatting sqref="F5:F34">
    <x:cfRule type="cellIs" dxfId="0" priority="1" operator="equal">
      <x:formula>"Pass"</x:formula>
    </x:cfRule>
    <x:cfRule type="cellIs" dxfId="1" priority="2" operator="equal">
      <x:formula>"Fail"</x:formula>
    </x:cfRule>
    <x:cfRule type="cellIs" dxfId="2" priority="3" operator="equal">
      <x:formula>"Blocked"</x:formula>
    </x:cfRule>
  </x:conditionalFormatting>
  <x:dataValidations count="2">
    <x:dataValidation type="list" sqref="F5:F34">
      <x:formula1>"Not Tested,Pass,Fail,Blocked"</x:formula1>
    </x:dataValidation>
    <x:dataValidation type="list" sqref="G5:G34">
      <x:formula1>"High,Medium,Low"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40" hidden="0" customWidth="1"/>
    <x:col min="4" max="4" width="12" hidden="0" customWidth="1"/>
    <x:col min="5" max="5" width="12" hidden="0" customWidth="1"/>
    <x:col min="6" max="6" width="15" hidden="0" customWidth="1"/>
    <x:col min="7" max="7" width="16" hidden="0" customWidth="1"/>
    <x:col min="8" max="8" width="32" hidden="0" customWidth="1"/>
  </x:cols>
  <x:sheetData>
    <x:row r="1" ht="28" customHeight="1">
      <x:c r="A1" s="4" t="str">
        <x:v>TV Tracker — Improvement Backlog</x:v>
      </x:c>
      <x:c r="B1" s="4" t="str">
        <x:v>TV Tracker — Improvement Backlog</x:v>
      </x:c>
      <x:c r="C1" s="4" t="str">
        <x:v>TV Tracker — Improvement Backlog</x:v>
      </x:c>
      <x:c r="D1" s="4" t="str">
        <x:v>TV Tracker — Improvement Backlog</x:v>
      </x:c>
      <x:c r="E1" s="4" t="str">
        <x:v>TV Tracker — Improvement Backlog</x:v>
      </x:c>
      <x:c r="F1" s="4" t="str">
        <x:v>TV Tracker — Improvement Backlog</x:v>
      </x:c>
      <x:c r="G1" s="4" t="str">
        <x:v>TV Tracker — Improvement Backlog</x:v>
      </x:c>
      <x:c r="H1" s="4" t="str">
        <x:v>TV Tracker — Improvement Backlog</x:v>
      </x:c>
    </x:row>
    <x:row r="2" ht="28" customHeight="1">
      <x:c r="A2" s="4" t="str">
        <x:v>TV Tracker — Improvement Backlog</x:v>
      </x:c>
      <x:c r="B2" s="4" t="str">
        <x:v>TV Tracker — Improvement Backlog</x:v>
      </x:c>
      <x:c r="C2" s="4" t="str">
        <x:v>TV Tracker — Improvement Backlog</x:v>
      </x:c>
      <x:c r="D2" s="4" t="str">
        <x:v>TV Tracker — Improvement Backlog</x:v>
      </x:c>
      <x:c r="E2" s="4" t="str">
        <x:v>TV Tracker — Improvement Backlog</x:v>
      </x:c>
      <x:c r="F2" s="4" t="str">
        <x:v>TV Tracker — Improvement Backlog</x:v>
      </x:c>
      <x:c r="G2" s="4" t="str">
        <x:v>TV Tracker — Improvement Backlog</x:v>
      </x:c>
      <x:c r="H2" s="4" t="str">
        <x:v>TV Tracker — Improvement Backlog</x:v>
      </x:c>
    </x:row>
    <x:row r="3" ht="30" customHeight="1">
      <x:c r="A3" s="7" t="str">
        <x:v>Use this page after testing to turn findings into a prioritized improvement plan. Add your own ideas below the starter items.</x:v>
      </x:c>
      <x:c r="B3" s="7"/>
      <x:c r="C3" s="7"/>
      <x:c r="D3" s="7"/>
      <x:c r="E3" s="7"/>
      <x:c r="F3" s="7"/>
      <x:c r="G3" s="7"/>
      <x:c r="H3" s="7"/>
    </x:row>
    <x:row r="4" ht="32" customHeight="1">
      <x:c r="A4" s="45" t="str">
        <x:v>ID</x:v>
      </x:c>
      <x:c r="B4" s="45" t="str">
        <x:v>Improvement</x:v>
      </x:c>
      <x:c r="C4" s="45" t="str">
        <x:v>Why it matters</x:v>
      </x:c>
      <x:c r="D4" s="45" t="str">
        <x:v>Priority</x:v>
      </x:c>
      <x:c r="E4" s="45" t="str">
        <x:v>Effort</x:v>
      </x:c>
      <x:c r="F4" s="45" t="str">
        <x:v>Status</x:v>
      </x:c>
      <x:c r="G4" s="45" t="str">
        <x:v>Owner</x:v>
      </x:c>
      <x:c r="H4" s="45" t="str">
        <x:v>Notes</x:v>
      </x:c>
    </x:row>
    <x:row r="5" ht="48" customHeight="1">
      <x:c r="A5" s="46" t="str">
        <x:v>I-01</x:v>
      </x:c>
      <x:c r="B5" s="46" t="str">
        <x:v>Mobile navigation polish</x:v>
      </x:c>
      <x:c r="C5" s="46" t="str">
        <x:v>Makes the app comfortable to use on phones and tablets.</x:v>
      </x:c>
      <x:c r="D5" s="46" t="str">
        <x:v>High</x:v>
      </x:c>
      <x:c r="E5" s="46" t="str">
        <x:v>Medium</x:v>
      </x:c>
      <x:c r="F5" s="46" t="str">
        <x:v>Planned</x:v>
      </x:c>
      <x:c r="G5" s="46" t="str"/>
      <x:c r="H5" s="46" t="str">
        <x:v>Collapsible sidebar; larger touch targets.</x:v>
      </x:c>
    </x:row>
    <x:row r="6" ht="48" customHeight="1">
      <x:c r="A6" s="46" t="str">
        <x:v>I-02</x:v>
      </x:c>
      <x:c r="B6" s="46" t="str">
        <x:v>Calendar page</x:v>
      </x:c>
      <x:c r="C6" s="46" t="str">
        <x:v>Helps users see upcoming episodes and releases.</x:v>
      </x:c>
      <x:c r="D6" s="46" t="str">
        <x:v>High</x:v>
      </x:c>
      <x:c r="E6" s="46" t="str">
        <x:v>Medium</x:v>
      </x:c>
      <x:c r="F6" s="46" t="str">
        <x:v>Planned</x:v>
      </x:c>
      <x:c r="G6" s="46" t="str"/>
      <x:c r="H6" s="46" t="str">
        <x:v>Use TMDB air dates.</x:v>
      </x:c>
    </x:row>
    <x:row r="7" ht="48" customHeight="1">
      <x:c r="A7" s="46" t="str">
        <x:v>I-03</x:v>
      </x:c>
      <x:c r="B7" s="46" t="str">
        <x:v>Statistics page</x:v>
      </x:c>
      <x:c r="C7" s="46" t="str">
        <x:v>Turns existing tracking data into useful insights.</x:v>
      </x:c>
      <x:c r="D7" s="46" t="str">
        <x:v>High</x:v>
      </x:c>
      <x:c r="E7" s="46" t="str">
        <x:v>Medium</x:v>
      </x:c>
      <x:c r="F7" s="46" t="str">
        <x:v>Planned</x:v>
      </x:c>
      <x:c r="G7" s="46" t="str"/>
      <x:c r="H7" s="46" t="str">
        <x:v>Charts for titles, episodes, favorites, and hours.</x:v>
      </x:c>
    </x:row>
    <x:row r="8" ht="48" customHeight="1">
      <x:c r="A8" s="46" t="str">
        <x:v>I-04</x:v>
      </x:c>
      <x:c r="B8" s="46" t="str">
        <x:v>Automated tests</x:v>
      </x:c>
      <x:c r="C8" s="46" t="str">
        <x:v>Protects watched, rating, history, and collection logic from regressions.</x:v>
      </x:c>
      <x:c r="D8" s="46" t="str">
        <x:v>High</x:v>
      </x:c>
      <x:c r="E8" s="46" t="str">
        <x:v>Medium</x:v>
      </x:c>
      <x:c r="F8" s="46" t="str">
        <x:v>Planned</x:v>
      </x:c>
      <x:c r="G8" s="46" t="str"/>
      <x:c r="H8" s="46" t="str">
        <x:v>Start with browser-storage helpers.</x:v>
      </x:c>
    </x:row>
    <x:row r="9" ht="48" customHeight="1">
      <x:c r="A9" s="46" t="str">
        <x:v>I-05</x:v>
      </x:c>
      <x:c r="B9" s="46" t="str">
        <x:v>Cloud accounts and sync</x:v>
      </x:c>
      <x:c r="C9" s="46" t="str">
        <x:v>Lets people keep their data across browsers and devices.</x:v>
      </x:c>
      <x:c r="D9" s="46" t="str">
        <x:v>High</x:v>
      </x:c>
      <x:c r="E9" s="46" t="str">
        <x:v>High</x:v>
      </x:c>
      <x:c r="F9" s="46" t="str">
        <x:v>Backlog</x:v>
      </x:c>
      <x:c r="G9" s="46" t="str"/>
      <x:c r="H9" s="46" t="str">
        <x:v>Requires authentication and backend.</x:v>
      </x:c>
    </x:row>
    <x:row r="10" ht="48" customHeight="1">
      <x:c r="A10" s="46" t="str">
        <x:v>I-06</x:v>
      </x:c>
      <x:c r="B10" s="46" t="str">
        <x:v>Backend TMDB proxy</x:v>
      </x:c>
      <x:c r="C10" s="46" t="str">
        <x:v>Avoids exposing a browser API key and enables caching.</x:v>
      </x:c>
      <x:c r="D10" s="46" t="str">
        <x:v>High</x:v>
      </x:c>
      <x:c r="E10" s="46" t="str">
        <x:v>Medium</x:v>
      </x:c>
      <x:c r="F10" s="46" t="str">
        <x:v>Backlog</x:v>
      </x:c>
      <x:c r="G10" s="46" t="str"/>
      <x:c r="H10" s="46" t="str">
        <x:v>Use serverless functions or API server.</x:v>
      </x:c>
    </x:row>
    <x:row r="11" ht="48" customHeight="1">
      <x:c r="A11" s="46" t="str">
        <x:v>I-07</x:v>
      </x:c>
      <x:c r="B11" s="46" t="str">
        <x:v>Watch statuses</x:v>
      </x:c>
      <x:c r="C11" s="46" t="str">
        <x:v>Improves tracking beyond watched/not watched.</x:v>
      </x:c>
      <x:c r="D11" s="46" t="str">
        <x:v>Medium</x:v>
      </x:c>
      <x:c r="E11" s="46" t="str">
        <x:v>Medium</x:v>
      </x:c>
      <x:c r="F11" s="46" t="str">
        <x:v>Backlog</x:v>
      </x:c>
      <x:c r="G11" s="46" t="str"/>
      <x:c r="H11" s="46" t="str">
        <x:v>Plan to watch, watching, completed, on hold, dropped.</x:v>
      </x:c>
    </x:row>
    <x:row r="12" ht="48" customHeight="1">
      <x:c r="A12" s="46" t="str">
        <x:v>I-08</x:v>
      </x:c>
      <x:c r="B12" s="46" t="str">
        <x:v>Recommendations and filters</x:v>
      </x:c>
      <x:c r="C12" s="46" t="str">
        <x:v>Makes discovery more useful as library data grows.</x:v>
      </x:c>
      <x:c r="D12" s="46" t="str">
        <x:v>Medium</x:v>
      </x:c>
      <x:c r="E12" s="46" t="str">
        <x:v>High</x:v>
      </x:c>
      <x:c r="F12" s="46" t="str">
        <x:v>Backlog</x:v>
      </x:c>
      <x:c r="G12" s="46" t="str"/>
      <x:c r="H12" s="46" t="str">
        <x:v>Genre, year, language, provider, rating.</x:v>
      </x:c>
    </x:row>
    <x:row r="13" ht="48" customHeight="1">
      <x:c r="A13" s="46" t="str">
        <x:v>I-09</x:v>
      </x:c>
      <x:c r="B13" s="46" t="str">
        <x:v>Notifications</x:v>
      </x:c>
      <x:c r="C13" s="46" t="str">
        <x:v>Brings users back for upcoming episodes and releases.</x:v>
      </x:c>
      <x:c r="D13" s="46" t="str">
        <x:v>Medium</x:v>
      </x:c>
      <x:c r="E13" s="46" t="str">
        <x:v>High</x:v>
      </x:c>
      <x:c r="F13" s="46" t="str">
        <x:v>Backlog</x:v>
      </x:c>
      <x:c r="G13" s="46" t="str"/>
      <x:c r="H13" s="46" t="str">
        <x:v>Browser or email reminders.</x:v>
      </x:c>
    </x:row>
    <x:row r="14" ht="48" customHeight="1">
      <x:c r="A14" s="46" t="str">
        <x:v>I-10</x:v>
      </x:c>
      <x:c r="B14" s="46" t="str">
        <x:v>PWA support</x:v>
      </x:c>
      <x:c r="C14" s="46" t="str">
        <x:v>Makes the project installable and more app-like.</x:v>
      </x:c>
      <x:c r="D14" s="46" t="str">
        <x:v>Low</x:v>
      </x:c>
      <x:c r="E14" s="46" t="str">
        <x:v>Medium</x:v>
      </x:c>
      <x:c r="F14" s="46" t="str">
        <x:v>Backlog</x:v>
      </x:c>
      <x:c r="G14" s="46" t="str"/>
      <x:c r="H14" s="46" t="str">
        <x:v>Install prompt and offline shell.</x:v>
      </x:c>
    </x:row>
  </x:sheetData>
  <x:mergeCells>
    <x:mergeCell ref="A1:H2"/>
    <x:mergeCell ref="A3:H3"/>
  </x:mergeCells>
  <x:conditionalFormatting sqref="D5:D14">
    <x:cfRule type="cellIs" dxfId="3" priority="1" operator="equal">
      <x:formula>"High"</x:formula>
    </x:cfRule>
  </x:conditionalFormatting>
  <x:dataValidations count="3">
    <x:dataValidation type="list" sqref="D5:D14">
      <x:formula1>"High,Medium,Low"</x:formula1>
    </x:dataValidation>
    <x:dataValidation type="list" sqref="E5:E14">
      <x:formula1>"Low,Medium,High"</x:formula1>
    </x:dataValidation>
    <x:dataValidation type="list" sqref="F5:F14">
      <x:formula1>"Planned,In Progress,Done,Backlog"</x:formula1>
    </x:dataValidation>
  </x:dataValidations>
  <x:pageMargins left="0.7" right="0.7" top="0.75" bottom="0.75" header="0.3" footer="0.3"/>
</x:worksheet>
</file>